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집행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월</t>
        </is>
      </c>
      <c r="B1" s="1" t="inlineStr">
        <is>
          <t>캠페인명</t>
        </is>
      </c>
      <c r="C1" s="1" t="inlineStr">
        <is>
          <t>채널</t>
        </is>
      </c>
      <c r="D1" s="1" t="inlineStr">
        <is>
          <t>예산(원)</t>
        </is>
      </c>
      <c r="E1" s="1" t="inlineStr">
        <is>
          <t>집행금액(원)</t>
        </is>
      </c>
      <c r="F1" s="1" t="inlineStr">
        <is>
          <t>잔여예산(원)</t>
        </is>
      </c>
      <c r="G1" s="1" t="inlineStr">
        <is>
          <t>집행률(%)</t>
        </is>
      </c>
    </row>
    <row r="2">
      <c r="A2" s="2" t="inlineStr">
        <is>
          <t>1월</t>
        </is>
      </c>
      <c r="B2" s="2" t="inlineStr">
        <is>
          <t>설날 프로모션</t>
        </is>
      </c>
      <c r="C2" s="2" t="inlineStr">
        <is>
          <t>Instagram</t>
        </is>
      </c>
      <c r="D2" s="2" t="n">
        <v>3000000</v>
      </c>
      <c r="E2" s="2" t="n">
        <v>2980000</v>
      </c>
      <c r="F2" s="2">
        <f>E3-D3</f>
        <v/>
      </c>
      <c r="G2" s="2">
        <f>E3/D3*100</f>
        <v/>
      </c>
    </row>
    <row r="3">
      <c r="A3" s="2" t="inlineStr">
        <is>
          <t>1월</t>
        </is>
      </c>
      <c r="B3" s="2" t="inlineStr">
        <is>
          <t>신년 브랜드 캠페인</t>
        </is>
      </c>
      <c r="C3" s="2" t="inlineStr">
        <is>
          <t>Facebook</t>
        </is>
      </c>
      <c r="D3" s="2" t="n">
        <v>2000000</v>
      </c>
      <c r="E3" s="2" t="n">
        <v>1956000</v>
      </c>
      <c r="F3" s="2">
        <f>E4-D4</f>
        <v/>
      </c>
      <c r="G3" s="2">
        <f>E4/D4*100</f>
        <v/>
      </c>
    </row>
    <row r="4">
      <c r="A4" s="2" t="inlineStr">
        <is>
          <t>1월</t>
        </is>
      </c>
      <c r="B4" s="2" t="inlineStr">
        <is>
          <t>검색광고</t>
        </is>
      </c>
      <c r="C4" s="2" t="inlineStr">
        <is>
          <t>Google</t>
        </is>
      </c>
      <c r="D4" s="2" t="n">
        <v>1500000</v>
      </c>
      <c r="E4" s="2" t="n">
        <v>1498000</v>
      </c>
      <c r="F4" s="2">
        <f>E5-D5</f>
        <v/>
      </c>
      <c r="G4" s="2">
        <f>E5/D5*100</f>
        <v/>
      </c>
    </row>
    <row r="5">
      <c r="A5" s="2" t="inlineStr">
        <is>
          <t>2월</t>
        </is>
      </c>
      <c r="B5" s="2" t="inlineStr">
        <is>
          <t>발렌타인 이벤트</t>
        </is>
      </c>
      <c r="C5" s="2" t="inlineStr">
        <is>
          <t>Instagram</t>
        </is>
      </c>
      <c r="D5" s="2" t="n">
        <v>2500000</v>
      </c>
      <c r="E5" s="2" t="n">
        <v>2501000</v>
      </c>
      <c r="F5" s="2">
        <f>E6-D6</f>
        <v/>
      </c>
      <c r="G5" s="2">
        <f>E6/D6*100</f>
        <v/>
      </c>
    </row>
    <row r="6">
      <c r="A6" s="2" t="inlineStr">
        <is>
          <t>2월</t>
        </is>
      </c>
      <c r="B6" s="2" t="inlineStr">
        <is>
          <t>겨울 마감 세일</t>
        </is>
      </c>
      <c r="C6" s="2" t="inlineStr">
        <is>
          <t>Naver</t>
        </is>
      </c>
      <c r="D6" s="2" t="n">
        <v>1800000</v>
      </c>
      <c r="E6" s="2" t="n">
        <v>1765000</v>
      </c>
      <c r="F6" s="2">
        <f>E7-D7</f>
        <v/>
      </c>
      <c r="G6" s="2">
        <f>E7/D7*100</f>
        <v/>
      </c>
    </row>
    <row r="7">
      <c r="A7" s="2" t="inlineStr">
        <is>
          <t>2월</t>
        </is>
      </c>
      <c r="B7" s="2" t="inlineStr">
        <is>
          <t>리타겟팅</t>
        </is>
      </c>
      <c r="C7" s="2" t="inlineStr">
        <is>
          <t>Google</t>
        </is>
      </c>
      <c r="D7" s="2" t="n">
        <v>1200000</v>
      </c>
      <c r="E7" s="2" t="n">
        <v>1198000</v>
      </c>
      <c r="F7" s="2">
        <f>E8-D8</f>
        <v/>
      </c>
      <c r="G7" s="2">
        <f>E8/D8*100</f>
        <v/>
      </c>
    </row>
    <row r="8">
      <c r="A8" s="2" t="inlineStr">
        <is>
          <t>3월</t>
        </is>
      </c>
      <c r="B8" s="2" t="inlineStr">
        <is>
          <t>봄맞이 신상품</t>
        </is>
      </c>
      <c r="C8" s="2" t="inlineStr">
        <is>
          <t>Instagram</t>
        </is>
      </c>
      <c r="D8" s="2" t="n">
        <v>4000000</v>
      </c>
      <c r="E8" s="2" t="n">
        <v>3976000</v>
      </c>
      <c r="F8" s="2">
        <f>E9-D9</f>
        <v/>
      </c>
      <c r="G8" s="2">
        <f>E9/D9*100</f>
        <v/>
      </c>
    </row>
    <row r="9">
      <c r="A9" s="2" t="inlineStr">
        <is>
          <t>3월</t>
        </is>
      </c>
      <c r="B9" s="2" t="inlineStr">
        <is>
          <t>신제품 런칭</t>
        </is>
      </c>
      <c r="C9" s="2" t="inlineStr">
        <is>
          <t>YouTube</t>
        </is>
      </c>
      <c r="D9" s="2" t="n">
        <v>3500000</v>
      </c>
      <c r="E9" s="2" t="n">
        <v>3498000</v>
      </c>
      <c r="F9" s="2">
        <f>E10-D10</f>
        <v/>
      </c>
      <c r="G9" s="2">
        <f>E10/D10*100</f>
        <v/>
      </c>
    </row>
    <row r="10">
      <c r="A10" s="2" t="inlineStr">
        <is>
          <t>3월</t>
        </is>
      </c>
      <c r="B10" s="2" t="inlineStr">
        <is>
          <t>카카오 메시지</t>
        </is>
      </c>
      <c r="C10" s="2" t="inlineStr">
        <is>
          <t>Kakao</t>
        </is>
      </c>
      <c r="D10" s="2" t="n">
        <v>800000</v>
      </c>
      <c r="E10" s="2" t="n">
        <v>792000</v>
      </c>
      <c r="F10" s="2">
        <f>E11-D11</f>
        <v/>
      </c>
      <c r="G10" s="2">
        <f>E11/D11*100</f>
        <v/>
      </c>
    </row>
    <row r="11">
      <c r="A11" s="2" t="inlineStr">
        <is>
          <t>합계</t>
        </is>
      </c>
      <c r="B11" s="2" t="inlineStr"/>
      <c r="C11" s="2" t="inlineStr"/>
      <c r="D11" s="2">
        <f>SUM(D3:D11)</f>
        <v/>
      </c>
      <c r="E11" s="2">
        <f>SUM(E3:E11)</f>
        <v/>
      </c>
      <c r="F11" s="2">
        <f>SUM(F3:F11)</f>
        <v/>
      </c>
      <c r="G11" s="2">
        <f>E12/D12*100</f>
        <v/>
      </c>
    </row>
    <row r="12">
      <c r="A12" s="3" t="n"/>
      <c r="B12" s="3" t="n"/>
      <c r="C12" s="3" t="n"/>
      <c r="D12" s="3" t="n"/>
      <c r="E12" s="3" t="n"/>
      <c r="F12" s="3" t="n"/>
      <c r="G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2026-04-29T05:43:24Z</dcterms:created>
  <dcterms:modified xmlns:dcterms="http://purl.org/dc/terms/" xmlns:xsi="http://www.w3.org/2001/XMLSchema-instance" xsi:type="dcterms:W3CDTF">2026-04-29T05:43:24Z</dcterms:modified>
</cp:coreProperties>
</file>